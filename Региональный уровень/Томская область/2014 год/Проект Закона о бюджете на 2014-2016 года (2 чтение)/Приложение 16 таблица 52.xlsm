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5" windowWidth="19320" windowHeight="7815"/>
  </bookViews>
  <sheets>
    <sheet name="Коррекцион" sheetId="1" r:id="rId1"/>
  </sheets>
  <calcPr calcId="125725"/>
</workbook>
</file>

<file path=xl/calcChain.xml><?xml version="1.0" encoding="utf-8"?>
<calcChain xmlns="http://schemas.openxmlformats.org/spreadsheetml/2006/main">
  <c r="D15" i="1"/>
  <c r="B15"/>
  <c r="D16"/>
  <c r="C16"/>
  <c r="B16"/>
</calcChain>
</file>

<file path=xl/sharedStrings.xml><?xml version="1.0" encoding="utf-8"?>
<sst xmlns="http://schemas.openxmlformats.org/spreadsheetml/2006/main" count="16" uniqueCount="16">
  <si>
    <t>Наименование муниципальных образований</t>
  </si>
  <si>
    <t>Сумма</t>
  </si>
  <si>
    <t>2014 год</t>
  </si>
  <si>
    <t>2015 год</t>
  </si>
  <si>
    <t>2016 год</t>
  </si>
  <si>
    <t>Итого по муниципальным образованиям</t>
  </si>
  <si>
    <t>Муниципальное образование «Асиновский район»</t>
  </si>
  <si>
    <t>Муниципальное образование «Бакчарский район»</t>
  </si>
  <si>
    <t>Муниципальное образование «Чаинский район»</t>
  </si>
  <si>
    <t>Муниципальное образование «Город Томск»</t>
  </si>
  <si>
    <t>Муниципальное образование «Городской округ Стрежевой»</t>
  </si>
  <si>
    <t>Муниципальное образование "Городской округ - закрытое административно-территориальное образование Северск Томской области"</t>
  </si>
  <si>
    <t>приложение 16</t>
  </si>
  <si>
    <t>Распределение субвенции на осуществление государственных полномочий по организации предоставления общедоступного и бесплатного дошкольного, начального общего, основного общего, среднего общего образования в муниципальных общеобразовательных организациях, осуществляющих образовательную деятельность  по адаптированным основным общеобразовательным программам на 2014 год и на плановый период 2015 и 2016 годов</t>
  </si>
  <si>
    <t xml:space="preserve">Таблица 52 </t>
  </si>
  <si>
    <t>(тыс. рублей)</t>
  </si>
</sst>
</file>

<file path=xl/styles.xml><?xml version="1.0" encoding="utf-8"?>
<styleSheet xmlns="http://schemas.openxmlformats.org/spreadsheetml/2006/main">
  <numFmts count="1">
    <numFmt numFmtId="164" formatCode="#,##0.0"/>
  </numFmts>
  <fonts count="26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 CYR"/>
      <family val="1"/>
      <charset val="204"/>
    </font>
    <font>
      <sz val="12"/>
      <name val="Times New Roman"/>
      <family val="1"/>
    </font>
    <font>
      <sz val="11"/>
      <name val="Times New Roman"/>
      <family val="1"/>
      <charset val="204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7" borderId="1" applyNumberFormat="0" applyAlignment="0" applyProtection="0"/>
    <xf numFmtId="0" fontId="4" fillId="20" borderId="2" applyNumberFormat="0" applyAlignment="0" applyProtection="0"/>
    <xf numFmtId="0" fontId="5" fillId="20" borderId="1" applyNumberFormat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21" borderId="7" applyNumberFormat="0" applyAlignment="0" applyProtection="0"/>
    <xf numFmtId="0" fontId="12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14" fillId="3" borderId="0" applyNumberFormat="0" applyBorder="0" applyAlignment="0" applyProtection="0"/>
    <xf numFmtId="0" fontId="15" fillId="0" borderId="0" applyNumberFormat="0" applyFill="0" applyBorder="0" applyAlignment="0" applyProtection="0"/>
    <xf numFmtId="0" fontId="6" fillId="23" borderId="8" applyNumberFormat="0" applyFon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21">
    <xf numFmtId="0" fontId="0" fillId="0" borderId="0" xfId="0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left" vertical="center" wrapText="1"/>
    </xf>
    <xf numFmtId="0" fontId="23" fillId="0" borderId="0" xfId="0" applyFont="1" applyFill="1"/>
    <xf numFmtId="0" fontId="24" fillId="0" borderId="11" xfId="0" applyFont="1" applyBorder="1" applyAlignment="1">
      <alignment vertical="center"/>
    </xf>
    <xf numFmtId="0" fontId="24" fillId="0" borderId="11" xfId="0" applyFont="1" applyBorder="1" applyAlignment="1">
      <alignment vertical="center" wrapText="1"/>
    </xf>
    <xf numFmtId="0" fontId="24" fillId="0" borderId="12" xfId="0" applyFont="1" applyFill="1" applyBorder="1" applyAlignment="1">
      <alignment vertical="center" wrapText="1"/>
    </xf>
    <xf numFmtId="0" fontId="20" fillId="0" borderId="10" xfId="0" applyFont="1" applyBorder="1" applyAlignment="1">
      <alignment horizontal="right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164" fontId="20" fillId="0" borderId="11" xfId="0" applyNumberFormat="1" applyFont="1" applyBorder="1" applyAlignment="1">
      <alignment horizontal="right" vertical="center"/>
    </xf>
    <xf numFmtId="164" fontId="22" fillId="0" borderId="11" xfId="0" applyNumberFormat="1" applyFont="1" applyBorder="1" applyAlignment="1">
      <alignment horizontal="right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right" vertical="center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A1:D18"/>
  <sheetViews>
    <sheetView tabSelected="1" workbookViewId="0">
      <selection activeCell="I4" sqref="I4"/>
    </sheetView>
  </sheetViews>
  <sheetFormatPr defaultRowHeight="15.75"/>
  <cols>
    <col min="1" max="1" width="57.28515625" style="1" customWidth="1"/>
    <col min="2" max="3" width="12.42578125" style="2" customWidth="1"/>
    <col min="4" max="4" width="11.5703125" style="2" customWidth="1"/>
    <col min="5" max="16384" width="9.140625" style="2"/>
  </cols>
  <sheetData>
    <row r="1" spans="1:4">
      <c r="D1" s="20" t="s">
        <v>14</v>
      </c>
    </row>
    <row r="2" spans="1:4">
      <c r="D2" s="20" t="s">
        <v>12</v>
      </c>
    </row>
    <row r="3" spans="1:4">
      <c r="D3" s="3"/>
    </row>
    <row r="4" spans="1:4" ht="112.5" customHeight="1">
      <c r="A4" s="16" t="s">
        <v>13</v>
      </c>
      <c r="B4" s="16"/>
      <c r="C4" s="16"/>
      <c r="D4" s="16"/>
    </row>
    <row r="5" spans="1:4">
      <c r="A5" s="12"/>
      <c r="B5" s="12"/>
      <c r="C5" s="12"/>
      <c r="D5" s="12"/>
    </row>
    <row r="6" spans="1:4">
      <c r="A6" s="4"/>
      <c r="B6" s="4"/>
      <c r="C6" s="4"/>
      <c r="D6" s="11" t="s">
        <v>15</v>
      </c>
    </row>
    <row r="7" spans="1:4" ht="19.5" customHeight="1">
      <c r="A7" s="18" t="s">
        <v>0</v>
      </c>
      <c r="B7" s="17" t="s">
        <v>1</v>
      </c>
      <c r="C7" s="17"/>
      <c r="D7" s="17"/>
    </row>
    <row r="8" spans="1:4" ht="19.5" customHeight="1">
      <c r="A8" s="19"/>
      <c r="B8" s="5" t="s">
        <v>2</v>
      </c>
      <c r="C8" s="5" t="s">
        <v>3</v>
      </c>
      <c r="D8" s="5" t="s">
        <v>4</v>
      </c>
    </row>
    <row r="9" spans="1:4">
      <c r="A9" s="13">
        <v>1</v>
      </c>
      <c r="B9" s="13">
        <v>2</v>
      </c>
      <c r="C9" s="13">
        <v>3</v>
      </c>
      <c r="D9" s="13">
        <v>4</v>
      </c>
    </row>
    <row r="10" spans="1:4" ht="22.5" customHeight="1">
      <c r="A10" s="8" t="s">
        <v>6</v>
      </c>
      <c r="B10" s="14">
        <v>14357.4</v>
      </c>
      <c r="C10" s="14">
        <v>15115</v>
      </c>
      <c r="D10" s="14">
        <v>16057.8</v>
      </c>
    </row>
    <row r="11" spans="1:4" ht="22.5" customHeight="1">
      <c r="A11" s="8" t="s">
        <v>7</v>
      </c>
      <c r="B11" s="14">
        <v>32396.799999999999</v>
      </c>
      <c r="C11" s="14">
        <v>34106.199999999997</v>
      </c>
      <c r="D11" s="14">
        <v>36233.699999999997</v>
      </c>
    </row>
    <row r="12" spans="1:4" ht="22.5" customHeight="1">
      <c r="A12" s="8" t="s">
        <v>8</v>
      </c>
      <c r="B12" s="14">
        <v>26369.1</v>
      </c>
      <c r="C12" s="14">
        <v>27760.400000000001</v>
      </c>
      <c r="D12" s="14">
        <v>29492.1</v>
      </c>
    </row>
    <row r="13" spans="1:4" ht="22.5" customHeight="1">
      <c r="A13" s="8" t="s">
        <v>9</v>
      </c>
      <c r="B13" s="14">
        <v>97240.5</v>
      </c>
      <c r="C13" s="14">
        <v>102371.3</v>
      </c>
      <c r="D13" s="14">
        <v>108757.2</v>
      </c>
    </row>
    <row r="14" spans="1:4" ht="23.25" customHeight="1">
      <c r="A14" s="9" t="s">
        <v>10</v>
      </c>
      <c r="B14" s="14">
        <v>22799.599999999999</v>
      </c>
      <c r="C14" s="14">
        <v>24002.6</v>
      </c>
      <c r="D14" s="14">
        <v>25499.9</v>
      </c>
    </row>
    <row r="15" spans="1:4" ht="49.5" customHeight="1">
      <c r="A15" s="10" t="s">
        <v>11</v>
      </c>
      <c r="B15" s="14">
        <f>22559.1+0.1</f>
        <v>22559.199999999997</v>
      </c>
      <c r="C15" s="14">
        <v>23749.4</v>
      </c>
      <c r="D15" s="14">
        <f>25230.9+0.1</f>
        <v>25231</v>
      </c>
    </row>
    <row r="16" spans="1:4" ht="20.25" customHeight="1">
      <c r="A16" s="6" t="s">
        <v>5</v>
      </c>
      <c r="B16" s="15">
        <f>SUM(B10:B15)</f>
        <v>215722.59999999998</v>
      </c>
      <c r="C16" s="15">
        <f>SUM(C10:C15)</f>
        <v>227104.90000000002</v>
      </c>
      <c r="D16" s="15">
        <f>SUM(D10:D15)</f>
        <v>241271.69999999998</v>
      </c>
    </row>
    <row r="18" spans="1:1">
      <c r="A18" s="7"/>
    </row>
  </sheetData>
  <mergeCells count="3">
    <mergeCell ref="A4:D4"/>
    <mergeCell ref="A7:A8"/>
    <mergeCell ref="B7:D7"/>
  </mergeCells>
  <phoneticPr fontId="19" type="noConversion"/>
  <pageMargins left="0.75" right="0.17" top="0.62992125984251968" bottom="0.74803149606299213" header="0.31496062992125984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Коррекцион</vt:lpstr>
    </vt:vector>
  </TitlesOfParts>
  <Company>findep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</dc:creator>
  <cp:lastModifiedBy>siv</cp:lastModifiedBy>
  <cp:lastPrinted>2013-12-05T10:53:17Z</cp:lastPrinted>
  <dcterms:created xsi:type="dcterms:W3CDTF">2013-09-23T10:31:05Z</dcterms:created>
  <dcterms:modified xsi:type="dcterms:W3CDTF">2013-12-05T10:53:18Z</dcterms:modified>
</cp:coreProperties>
</file>